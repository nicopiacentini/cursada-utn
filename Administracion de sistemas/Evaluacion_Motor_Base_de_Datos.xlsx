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R" sheetId="1" state="visible" r:id="rId3"/>
    <sheet name="Ayu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A16" authorId="0">
      <text>
        <r>
          <rPr>
            <sz val="10"/>
            <rFont val="Arial"/>
            <family val="2"/>
          </rPr>
          <t xml:space="preserve">======
La suma total debe ser 100</t>
        </r>
      </text>
    </comment>
  </commentList>
</comments>
</file>

<file path=xl/sharedStrings.xml><?xml version="1.0" encoding="utf-8"?>
<sst xmlns="http://schemas.openxmlformats.org/spreadsheetml/2006/main" count="70" uniqueCount="60">
  <si>
    <t xml:space="preserve">MATRIZ DE EVALUACIÓN</t>
  </si>
  <si>
    <t xml:space="preserve">Proyecto:</t>
  </si>
  <si>
    <t xml:space="preserve">Desarrollo e Implementación de un Sistema Digital de Gestión de Turnos para Taller Barber Shop</t>
  </si>
  <si>
    <t xml:space="preserve">Fecha:</t>
  </si>
  <si>
    <t xml:space="preserve">05/07/2025</t>
  </si>
  <si>
    <t xml:space="preserve">Unidad:</t>
  </si>
  <si>
    <t xml:space="preserve">Equipo de Desarrollo</t>
  </si>
  <si>
    <t xml:space="preserve">Decisión:</t>
  </si>
  <si>
    <t xml:space="preserve">Selección del motor de base de datos para el sistema de gestión de turnos</t>
  </si>
  <si>
    <t xml:space="preserve">Opción 1:</t>
  </si>
  <si>
    <t xml:space="preserve">PostgreSQL (SQL relacional)</t>
  </si>
  <si>
    <t xml:space="preserve">Opción 2:</t>
  </si>
  <si>
    <t xml:space="preserve">MySQL (SQL relacional)</t>
  </si>
  <si>
    <t xml:space="preserve">Opción 3:</t>
  </si>
  <si>
    <t xml:space="preserve">MongoDB (NoSQL documental)</t>
  </si>
  <si>
    <t xml:space="preserve">Opción 1</t>
  </si>
  <si>
    <t xml:space="preserve">Opción 2</t>
  </si>
  <si>
    <t xml:space="preserve">Opción 3</t>
  </si>
  <si>
    <t xml:space="preserve">CRITERIOS</t>
  </si>
  <si>
    <t xml:space="preserve">Peso</t>
  </si>
  <si>
    <t xml:space="preserve">Comentarios</t>
  </si>
  <si>
    <t xml:space="preserve">Puntuación</t>
  </si>
  <si>
    <t xml:space="preserve">Valor</t>
  </si>
  <si>
    <t xml:space="preserve">❖Técnicos</t>
  </si>
  <si>
    <t xml:space="preserve">Soporte nativo a relaciones complejas, transacciones ACID y consultas avanzadas. Ideal para datos estructurados de turnos.</t>
  </si>
  <si>
    <t xml:space="preserve">Soporte relacional sólido, ampliamente usado en aplicaciones web. Menor soporte nativo para consultas analíticas.</t>
  </si>
  <si>
    <t xml:space="preserve">Esquema flexible, adecuado para datos variables. Menor consistencia en transacciones multi-documento.</t>
  </si>
  <si>
    <t xml:space="preserve">❖Económicos</t>
  </si>
  <si>
    <t xml:space="preserve">Open source, sin costo de licencia. Hosting gestionado disponible en múltiples proveedores cloud.</t>
  </si>
  <si>
    <t xml:space="preserve">Open source, amplia disponibilidad de hosting gestionado a bajo costo.</t>
  </si>
  <si>
    <t xml:space="preserve">Open source con tier gratuito (MongoDB Atlas). Planes de pago accesibles.</t>
  </si>
  <si>
    <t xml:space="preserve">❖Solvencia</t>
  </si>
  <si>
    <t xml:space="preserve">Proyecto maduro con más de 30 años, respaldado por comunidad activa y soporte empresarial (EDB).</t>
  </si>
  <si>
    <t xml:space="preserve">Respaldado por Oracle. Alta estabilidad y extensa trayectoria en producción.</t>
  </si>
  <si>
    <t xml:space="preserve">Respaldado por MongoDB Inc. Empresa cotizada en bolsa con soporte empresarial activo.</t>
  </si>
  <si>
    <t xml:space="preserve">❖Experiencia</t>
  </si>
  <si>
    <t xml:space="preserve">Alta adopción en proyectos similares. Curva de aprendizaje media, bien documentado.</t>
  </si>
  <si>
    <t xml:space="preserve">El motor relacional más utilizado a nivel mundial. Amplia documentación y recursos.</t>
  </si>
  <si>
    <t xml:space="preserve">Requiere cambio de paradigma respecto a SQL. Curva de aprendizaje mayor para equipos con experiencia relacional.</t>
  </si>
  <si>
    <t xml:space="preserve">❖Idoneidad</t>
  </si>
  <si>
    <t xml:space="preserve">Modelo relacional alineado con la naturaleza estructurada del dominio (turnos, sucursales, clientes, peluqueros).</t>
  </si>
  <si>
    <t xml:space="preserve">Apto para el dominio del problema, aunque con menor flexibilidad en extensibilidad futura.</t>
  </si>
  <si>
    <t xml:space="preserve">Adecuado si se prevé alta variabilidad en los datos, lo cual no aplica en este dominio acotado.</t>
  </si>
  <si>
    <t xml:space="preserve">TOTAL</t>
  </si>
  <si>
    <t xml:space="preserve">Detalle de las alternativas</t>
  </si>
  <si>
    <t xml:space="preserve">Alternativa 1: PostgreSQL: motor relacional open source de alta robustez, con soporte completo a ACID, ideal para gestionar las relaciones entre turnos, clientes, sucursales y peluqueros.</t>
  </si>
  <si>
    <t xml:space="preserve">Alternativa 2: MySQL: motor relacional open source ampliamente adoptado, con gran ecosistema de herramientas y hosting gestionado. Solución madura y confiable.</t>
  </si>
  <si>
    <t xml:space="preserve">Alternativa 3: MongoDB: base de datos NoSQL documental con esquema flexible. Adecuado para datos no estructurados, pero de menor idoneidad para el dominio relacional de este proyecto.</t>
  </si>
  <si>
    <t xml:space="preserve">Ejemplos: Coste, plazo, calidad, riesgos, dependencias, interno, cambios, continuidad, etc.</t>
  </si>
  <si>
    <t xml:space="preserve">Criterios</t>
  </si>
  <si>
    <t xml:space="preserve">❖Técnicos             </t>
  </si>
  <si>
    <t xml:space="preserve">❖Financieros</t>
  </si>
  <si>
    <t xml:space="preserve">❖Capacidad</t>
  </si>
  <si>
    <t xml:space="preserve">❖Solidez</t>
  </si>
  <si>
    <t xml:space="preserve">PESO de los Criterios</t>
  </si>
  <si>
    <t xml:space="preserve">La suma de los pesos deberá ser 100</t>
  </si>
  <si>
    <t xml:space="preserve">Valoración de las Alternativas</t>
  </si>
  <si>
    <t xml:space="preserve">• de 0 a 4, valoración que se considera inconveniente o negativa.</t>
  </si>
  <si>
    <t xml:space="preserve">• 5, valoración que se estima como nula o no influyente.</t>
  </si>
  <si>
    <t xml:space="preserve">• de 6 a 10, valoración que se considera conveniente o positiva.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</si>
</sst>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Neo Sans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  <font>
      <sz val="15"/>
      <color rgb="FF434343"/>
      <name val="Work San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DEEAF6"/>
      </patternFill>
    </fill>
    <fill>
      <patternFill patternType="solid">
        <fgColor rgb="FFD8D8D8"/>
        <bgColor rgb="FFDEEAF6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AF6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73" zoomScaleNormal="73" zoomScalePageLayoutView="100" workbookViewId="0">
      <selection pane="topLeft" activeCell="O14" activeCellId="0" sqref="O1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7.58"/>
    <col collapsed="false" customWidth="true" hidden="false" outlineLevel="0" max="2" min="2" style="1" width="6.85"/>
    <col collapsed="false" customWidth="true" hidden="false" outlineLevel="0" max="3" min="3" style="1" width="40.85"/>
    <col collapsed="false" customWidth="true" hidden="false" outlineLevel="0" max="4" min="4" style="1" width="10.57"/>
    <col collapsed="false" customWidth="true" hidden="false" outlineLevel="0" max="5" min="5" style="1" width="6.58"/>
    <col collapsed="false" customWidth="true" hidden="false" outlineLevel="0" max="6" min="6" style="1" width="26.58"/>
    <col collapsed="false" customWidth="true" hidden="false" outlineLevel="0" max="7" min="7" style="1" width="11"/>
    <col collapsed="false" customWidth="true" hidden="false" outlineLevel="0" max="8" min="8" style="1" width="5.57"/>
    <col collapsed="false" customWidth="true" hidden="false" outlineLevel="0" max="9" min="9" style="1" width="22.43"/>
    <col collapsed="false" customWidth="true" hidden="false" outlineLevel="0" max="10" min="10" style="1" width="11.43"/>
    <col collapsed="false" customWidth="true" hidden="false" outlineLevel="0" max="11" min="11" style="1" width="7.57"/>
    <col collapsed="false" customWidth="true" hidden="false" outlineLevel="0" max="26" min="12" style="1" width="10.71"/>
  </cols>
  <sheetData>
    <row r="1" customFormat="false" ht="23.2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4" t="s">
        <v>1</v>
      </c>
      <c r="B2" s="1" t="s">
        <v>2</v>
      </c>
      <c r="F2" s="4" t="s">
        <v>3</v>
      </c>
      <c r="G2" s="1" t="s">
        <v>4</v>
      </c>
    </row>
    <row r="3" customFormat="false" ht="15" hidden="true" customHeight="false" outlineLevel="0" collapsed="false">
      <c r="A3" s="4" t="s">
        <v>5</v>
      </c>
      <c r="B3" s="5" t="s">
        <v>6</v>
      </c>
      <c r="C3" s="5"/>
      <c r="D3" s="5"/>
      <c r="E3" s="5"/>
      <c r="F3" s="5"/>
      <c r="G3" s="5"/>
      <c r="H3" s="5"/>
      <c r="I3" s="5"/>
      <c r="J3" s="5"/>
      <c r="K3" s="5"/>
    </row>
    <row r="4" customFormat="false" ht="30" hidden="false" customHeight="true" outlineLevel="0" collapsed="false">
      <c r="A4" s="6" t="s">
        <v>7</v>
      </c>
      <c r="B4" s="7" t="s">
        <v>8</v>
      </c>
      <c r="C4" s="7"/>
      <c r="D4" s="7"/>
      <c r="E4" s="7"/>
      <c r="F4" s="7"/>
      <c r="G4" s="7"/>
      <c r="H4" s="7"/>
      <c r="I4" s="7"/>
      <c r="J4" s="7"/>
      <c r="K4" s="7"/>
    </row>
    <row r="5" customFormat="false" ht="15" hidden="false" customHeight="false" outlineLevel="0" collapsed="false">
      <c r="A5" s="8" t="s">
        <v>9</v>
      </c>
      <c r="B5" s="9" t="s">
        <v>10</v>
      </c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false" outlineLevel="0" collapsed="false">
      <c r="A6" s="8" t="s">
        <v>11</v>
      </c>
      <c r="B6" s="9" t="s">
        <v>12</v>
      </c>
      <c r="C6" s="9"/>
      <c r="D6" s="9"/>
      <c r="E6" s="9"/>
      <c r="F6" s="9"/>
      <c r="G6" s="9"/>
      <c r="H6" s="9"/>
      <c r="I6" s="9"/>
      <c r="J6" s="9"/>
      <c r="K6" s="9"/>
    </row>
    <row r="7" customFormat="false" ht="15" hidden="false" customHeight="false" outlineLevel="0" collapsed="false">
      <c r="A7" s="8" t="s">
        <v>13</v>
      </c>
      <c r="B7" s="9" t="s">
        <v>14</v>
      </c>
      <c r="C7" s="9"/>
      <c r="D7" s="9"/>
      <c r="E7" s="9"/>
      <c r="F7" s="9"/>
      <c r="G7" s="9"/>
      <c r="H7" s="9"/>
      <c r="I7" s="9"/>
      <c r="J7" s="9"/>
      <c r="K7" s="9"/>
    </row>
    <row r="8" customFormat="false" ht="19.5" hidden="false" customHeight="true" outlineLevel="0" collapsed="false">
      <c r="A8" s="10"/>
      <c r="B8" s="11"/>
      <c r="C8" s="12" t="s">
        <v>15</v>
      </c>
      <c r="D8" s="12"/>
      <c r="E8" s="12"/>
      <c r="F8" s="12" t="s">
        <v>16</v>
      </c>
      <c r="G8" s="12"/>
      <c r="H8" s="12"/>
      <c r="I8" s="13" t="s">
        <v>17</v>
      </c>
      <c r="J8" s="13"/>
      <c r="K8" s="13"/>
    </row>
    <row r="9" customFormat="false" ht="19.5" hidden="false" customHeight="true" outlineLevel="0" collapsed="false">
      <c r="A9" s="10"/>
      <c r="B9" s="11"/>
      <c r="C9" s="14" t="str">
        <f aca="false">B5</f>
        <v>PostgreSQL (SQL relacional)</v>
      </c>
      <c r="D9" s="14"/>
      <c r="E9" s="15"/>
      <c r="F9" s="14" t="str">
        <f aca="false">B6</f>
        <v>MySQL (SQL relacional)</v>
      </c>
      <c r="G9" s="14"/>
      <c r="H9" s="15"/>
      <c r="I9" s="14" t="str">
        <f aca="false">B7</f>
        <v>MongoDB (NoSQL documental)</v>
      </c>
      <c r="J9" s="14"/>
      <c r="K9" s="16"/>
    </row>
    <row r="10" customFormat="false" ht="21.75" hidden="false" customHeight="true" outlineLevel="0" collapsed="false">
      <c r="A10" s="17" t="s">
        <v>18</v>
      </c>
      <c r="B10" s="18" t="s">
        <v>19</v>
      </c>
      <c r="C10" s="19" t="s">
        <v>20</v>
      </c>
      <c r="D10" s="19" t="s">
        <v>21</v>
      </c>
      <c r="E10" s="19" t="s">
        <v>22</v>
      </c>
      <c r="F10" s="19" t="s">
        <v>20</v>
      </c>
      <c r="G10" s="19" t="s">
        <v>21</v>
      </c>
      <c r="H10" s="19" t="s">
        <v>22</v>
      </c>
      <c r="I10" s="19" t="s">
        <v>20</v>
      </c>
      <c r="J10" s="19" t="s">
        <v>21</v>
      </c>
      <c r="K10" s="19" t="s">
        <v>22</v>
      </c>
    </row>
    <row r="11" customFormat="false" ht="46.25" hidden="false" customHeight="false" outlineLevel="0" collapsed="false">
      <c r="A11" s="20" t="s">
        <v>23</v>
      </c>
      <c r="B11" s="21" t="n">
        <v>30</v>
      </c>
      <c r="C11" s="22" t="s">
        <v>24</v>
      </c>
      <c r="D11" s="20" t="n">
        <v>9</v>
      </c>
      <c r="E11" s="23" t="n">
        <f aca="false">$B11*$D11</f>
        <v>270</v>
      </c>
      <c r="F11" s="22" t="s">
        <v>25</v>
      </c>
      <c r="G11" s="20" t="n">
        <v>7</v>
      </c>
      <c r="H11" s="23" t="n">
        <f aca="false">$B11*$G11</f>
        <v>210</v>
      </c>
      <c r="I11" s="22" t="s">
        <v>26</v>
      </c>
      <c r="J11" s="20" t="n">
        <v>5</v>
      </c>
      <c r="K11" s="23" t="n">
        <f aca="false">$B11*$J11</f>
        <v>150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5" hidden="false" customHeight="false" outlineLevel="0" collapsed="false">
      <c r="A12" s="20" t="s">
        <v>27</v>
      </c>
      <c r="B12" s="25" t="n">
        <v>20</v>
      </c>
      <c r="C12" s="24" t="s">
        <v>28</v>
      </c>
      <c r="D12" s="20" t="n">
        <v>9</v>
      </c>
      <c r="E12" s="23" t="n">
        <f aca="false">$B12*$D12</f>
        <v>180</v>
      </c>
      <c r="F12" s="24" t="s">
        <v>29</v>
      </c>
      <c r="G12" s="20" t="n">
        <v>9</v>
      </c>
      <c r="H12" s="23" t="n">
        <f aca="false">$B12*$G12</f>
        <v>180</v>
      </c>
      <c r="I12" s="24" t="s">
        <v>30</v>
      </c>
      <c r="J12" s="20" t="n">
        <v>8</v>
      </c>
      <c r="K12" s="23" t="n">
        <f aca="false">$B12*$J12</f>
        <v>160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46.25" hidden="false" customHeight="false" outlineLevel="0" collapsed="false">
      <c r="A13" s="20" t="s">
        <v>31</v>
      </c>
      <c r="B13" s="25" t="n">
        <v>20</v>
      </c>
      <c r="C13" s="26" t="s">
        <v>32</v>
      </c>
      <c r="D13" s="20" t="n">
        <v>10</v>
      </c>
      <c r="E13" s="23" t="n">
        <f aca="false">$B13*$D13</f>
        <v>200</v>
      </c>
      <c r="F13" s="26" t="s">
        <v>33</v>
      </c>
      <c r="G13" s="27" t="n">
        <v>9</v>
      </c>
      <c r="H13" s="23" t="n">
        <f aca="false">$B13*$G13</f>
        <v>180</v>
      </c>
      <c r="I13" s="26" t="s">
        <v>34</v>
      </c>
      <c r="J13" s="20" t="n">
        <v>8</v>
      </c>
      <c r="K13" s="23" t="n">
        <f aca="false">$B13*$J13</f>
        <v>160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57.45" hidden="false" customHeight="false" outlineLevel="0" collapsed="false">
      <c r="A14" s="20" t="s">
        <v>35</v>
      </c>
      <c r="B14" s="25" t="n">
        <v>20</v>
      </c>
      <c r="C14" s="26" t="s">
        <v>36</v>
      </c>
      <c r="D14" s="20" t="n">
        <v>8</v>
      </c>
      <c r="E14" s="23" t="n">
        <f aca="false">$B14*$D14</f>
        <v>160</v>
      </c>
      <c r="F14" s="26" t="s">
        <v>37</v>
      </c>
      <c r="G14" s="20" t="n">
        <v>9</v>
      </c>
      <c r="H14" s="23" t="n">
        <f aca="false">$B14*$G14</f>
        <v>180</v>
      </c>
      <c r="I14" s="26" t="s">
        <v>38</v>
      </c>
      <c r="J14" s="27" t="n">
        <v>5</v>
      </c>
      <c r="K14" s="23" t="n">
        <f aca="false">$B14*$J14</f>
        <v>100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5" hidden="false" customHeight="false" outlineLevel="0" collapsed="false">
      <c r="A15" s="20" t="s">
        <v>39</v>
      </c>
      <c r="B15" s="25" t="n">
        <v>10</v>
      </c>
      <c r="C15" s="27" t="s">
        <v>40</v>
      </c>
      <c r="D15" s="27" t="n">
        <v>10</v>
      </c>
      <c r="E15" s="23" t="n">
        <f aca="false">$B15*$D15</f>
        <v>100</v>
      </c>
      <c r="F15" s="27" t="s">
        <v>41</v>
      </c>
      <c r="G15" s="27" t="n">
        <v>7</v>
      </c>
      <c r="H15" s="23" t="n">
        <f aca="false">$B15*$G15</f>
        <v>70</v>
      </c>
      <c r="I15" s="27" t="s">
        <v>42</v>
      </c>
      <c r="J15" s="27" t="n">
        <v>4</v>
      </c>
      <c r="K15" s="23" t="n">
        <f aca="false">$B15*$J15</f>
        <v>40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5" hidden="false" customHeight="false" outlineLevel="0" collapsed="false">
      <c r="A16" s="28" t="s">
        <v>43</v>
      </c>
      <c r="B16" s="29" t="n">
        <f aca="false">SUM(B11:B15)</f>
        <v>100</v>
      </c>
      <c r="C16" s="30"/>
      <c r="D16" s="30"/>
      <c r="E16" s="31" t="n">
        <f aca="false">SUM(E11:E15)</f>
        <v>910</v>
      </c>
      <c r="F16" s="30"/>
      <c r="G16" s="30"/>
      <c r="H16" s="31" t="n">
        <f aca="false">SUM(H11:H15)</f>
        <v>820</v>
      </c>
      <c r="I16" s="30"/>
      <c r="J16" s="30"/>
      <c r="K16" s="31" t="n">
        <f aca="false">SUM(K11:K15)</f>
        <v>610</v>
      </c>
    </row>
    <row r="18" customFormat="false" ht="15" hidden="false" customHeight="false" outlineLevel="0" collapsed="false">
      <c r="A18" s="32" t="s">
        <v>44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customFormat="false" ht="15" hidden="false" customHeight="false" outlineLevel="0" collapsed="false">
      <c r="A19" s="34" t="s">
        <v>45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</row>
    <row r="20" customFormat="false" ht="15" hidden="false" customHeight="false" outlineLevel="0" collapsed="false">
      <c r="A20" s="36" t="s">
        <v>46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customFormat="false" ht="15.75" hidden="false" customHeight="true" outlineLevel="0" collapsed="false">
      <c r="A21" s="38" t="s">
        <v>47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:K1"/>
    <mergeCell ref="B3:K3"/>
    <mergeCell ref="B4:K4"/>
    <mergeCell ref="B5:K5"/>
    <mergeCell ref="B6:K6"/>
    <mergeCell ref="B7:K7"/>
    <mergeCell ref="C8:E8"/>
    <mergeCell ref="F8:H8"/>
    <mergeCell ref="I8:K8"/>
    <mergeCell ref="C9:D9"/>
    <mergeCell ref="F9:G9"/>
    <mergeCell ref="I9:J9"/>
    <mergeCell ref="B19:K19"/>
    <mergeCell ref="B20:K20"/>
    <mergeCell ref="B21:K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73" zoomScaleNormal="73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42"/>
    <col collapsed="false" customWidth="true" hidden="false" outlineLevel="0" max="26" min="3" style="1" width="10.71"/>
  </cols>
  <sheetData>
    <row r="1" customFormat="false" ht="26.25" hidden="false" customHeight="true" outlineLevel="0" collapsed="false">
      <c r="A1" s="39" t="s">
        <v>48</v>
      </c>
    </row>
    <row r="2" customFormat="false" ht="15" hidden="false" customHeight="false" outlineLevel="0" collapsed="false">
      <c r="A2" s="32" t="s">
        <v>49</v>
      </c>
    </row>
    <row r="3" customFormat="false" ht="18.75" hidden="false" customHeight="true" outlineLevel="0" collapsed="false">
      <c r="A3" s="40" t="s">
        <v>50</v>
      </c>
    </row>
    <row r="4" customFormat="false" ht="18.75" hidden="false" customHeight="true" outlineLevel="0" collapsed="false">
      <c r="A4" s="40" t="s">
        <v>27</v>
      </c>
    </row>
    <row r="5" customFormat="false" ht="18.75" hidden="false" customHeight="true" outlineLevel="0" collapsed="false">
      <c r="A5" s="40" t="s">
        <v>51</v>
      </c>
    </row>
    <row r="6" customFormat="false" ht="18.75" hidden="false" customHeight="true" outlineLevel="0" collapsed="false">
      <c r="A6" s="40" t="s">
        <v>31</v>
      </c>
    </row>
    <row r="7" customFormat="false" ht="18.75" hidden="false" customHeight="true" outlineLevel="0" collapsed="false">
      <c r="A7" s="40" t="s">
        <v>52</v>
      </c>
    </row>
    <row r="8" customFormat="false" ht="18.75" hidden="false" customHeight="true" outlineLevel="0" collapsed="false">
      <c r="A8" s="40" t="s">
        <v>39</v>
      </c>
    </row>
    <row r="9" customFormat="false" ht="18.75" hidden="false" customHeight="true" outlineLevel="0" collapsed="false">
      <c r="A9" s="40" t="s">
        <v>35</v>
      </c>
    </row>
    <row r="10" customFormat="false" ht="18.75" hidden="false" customHeight="true" outlineLevel="0" collapsed="false">
      <c r="A10" s="40" t="s">
        <v>53</v>
      </c>
    </row>
    <row r="11" customFormat="false" ht="15" hidden="false" customHeight="false" outlineLevel="0" collapsed="false">
      <c r="A11" s="39"/>
    </row>
    <row r="12" customFormat="false" ht="15" hidden="false" customHeight="false" outlineLevel="0" collapsed="false">
      <c r="A12" s="32" t="s">
        <v>54</v>
      </c>
    </row>
    <row r="13" customFormat="false" ht="15" hidden="false" customHeight="false" outlineLevel="0" collapsed="false">
      <c r="A13" s="33" t="s">
        <v>55</v>
      </c>
    </row>
    <row r="14" customFormat="false" ht="21" hidden="false" customHeight="true" outlineLevel="0" collapsed="false">
      <c r="A14" s="41"/>
    </row>
    <row r="15" customFormat="false" ht="20.25" hidden="false" customHeight="true" outlineLevel="0" collapsed="false">
      <c r="A15" s="32" t="s">
        <v>56</v>
      </c>
    </row>
    <row r="16" customFormat="false" ht="15" hidden="false" customHeight="false" outlineLevel="0" collapsed="false">
      <c r="A16" s="1" t="n">
        <v>0</v>
      </c>
      <c r="B16" s="42" t="s">
        <v>57</v>
      </c>
    </row>
    <row r="17" customFormat="false" ht="15" hidden="false" customHeight="false" outlineLevel="0" collapsed="false">
      <c r="A17" s="1" t="n">
        <v>1</v>
      </c>
      <c r="B17" s="42"/>
    </row>
    <row r="18" customFormat="false" ht="15" hidden="false" customHeight="false" outlineLevel="0" collapsed="false">
      <c r="A18" s="1" t="n">
        <v>2</v>
      </c>
      <c r="B18" s="42"/>
    </row>
    <row r="19" customFormat="false" ht="15" hidden="false" customHeight="false" outlineLevel="0" collapsed="false">
      <c r="A19" s="43" t="n">
        <v>3</v>
      </c>
      <c r="B19" s="42"/>
    </row>
    <row r="20" customFormat="false" ht="15" hidden="false" customHeight="false" outlineLevel="0" collapsed="false">
      <c r="A20" s="1" t="n">
        <v>4</v>
      </c>
      <c r="B20" s="42"/>
    </row>
    <row r="21" customFormat="false" ht="15.75" hidden="false" customHeight="true" outlineLevel="0" collapsed="false">
      <c r="A21" s="1" t="n">
        <v>5</v>
      </c>
      <c r="B21" s="41" t="s">
        <v>58</v>
      </c>
    </row>
    <row r="22" customFormat="false" ht="15.75" hidden="false" customHeight="true" outlineLevel="0" collapsed="false">
      <c r="A22" s="1" t="n">
        <v>6</v>
      </c>
      <c r="B22" s="44" t="s">
        <v>59</v>
      </c>
    </row>
    <row r="23" customFormat="false" ht="15.75" hidden="false" customHeight="true" outlineLevel="0" collapsed="false">
      <c r="A23" s="1" t="n">
        <v>7</v>
      </c>
      <c r="B23" s="44"/>
    </row>
    <row r="24" customFormat="false" ht="15.75" hidden="false" customHeight="true" outlineLevel="0" collapsed="false">
      <c r="A24" s="1" t="n">
        <v>8</v>
      </c>
      <c r="B24" s="44"/>
    </row>
    <row r="25" customFormat="false" ht="15.75" hidden="false" customHeight="true" outlineLevel="0" collapsed="false">
      <c r="A25" s="1" t="n">
        <v>9</v>
      </c>
      <c r="B25" s="44"/>
    </row>
    <row r="26" customFormat="false" ht="15.75" hidden="false" customHeight="true" outlineLevel="0" collapsed="false">
      <c r="A26" s="1" t="n">
        <v>10</v>
      </c>
      <c r="B26" s="44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B16:B20"/>
    <mergeCell ref="B22:B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2017-10-05T07:48:53Z</dcterms:created>
  <dc:creator>Moreno Alcántara, Ana Isabel</dc:creator>
  <dc:description/>
  <dc:language>en-US</dc:language>
  <cp:lastModifiedBy/>
  <dcterms:modified xsi:type="dcterms:W3CDTF">2026-07-05T18:36:37Z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0x010100362E263CFAB8C44493F4A378833FD3FE</vt:lpwstr>
  </property>
</Properties>
</file>